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RSGB Convention Files\ADF4351 Macro\"/>
    </mc:Choice>
  </mc:AlternateContent>
  <xr:revisionPtr revIDLastSave="0" documentId="13_ncr:1_{9CEBE053-7A0D-4CA5-A2D7-532363A0B0F6}" xr6:coauthVersionLast="47" xr6:coauthVersionMax="47" xr10:uidLastSave="{00000000-0000-0000-0000-000000000000}"/>
  <bookViews>
    <workbookView xWindow="-120" yWindow="-120" windowWidth="29040" windowHeight="15720" xr2:uid="{6884219A-BA7C-4F69-8D92-3C8AE54F8453}"/>
  </bookViews>
  <sheets>
    <sheet name="PLL" sheetId="1" r:id="rId1"/>
  </sheets>
  <functionGroups builtInGroupCount="19"/>
  <definedNames>
    <definedName name="Cspacing">PLL!$B$2</definedName>
    <definedName name="REFin">PLL!$B$3</definedName>
    <definedName name="RFout">PLL!$B$1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<sst xmlns="http://schemas.openxmlformats.org/spreadsheetml/2006/main" count="30" uniqueCount="27">
  <si>
    <t>MHz</t>
  </si>
  <si>
    <t>KHz</t>
  </si>
  <si>
    <t>REFin</t>
  </si>
  <si>
    <t>RFout</t>
  </si>
  <si>
    <t>Cspacing</t>
  </si>
  <si>
    <t>Divider</t>
  </si>
  <si>
    <t>N</t>
  </si>
  <si>
    <t>INT</t>
  </si>
  <si>
    <t>MOD</t>
  </si>
  <si>
    <t>FRAC</t>
  </si>
  <si>
    <t>GCD</t>
  </si>
  <si>
    <t>Check</t>
  </si>
  <si>
    <t>Reg0</t>
  </si>
  <si>
    <t>Reg1</t>
  </si>
  <si>
    <t>Reg2</t>
  </si>
  <si>
    <t>Reg3</t>
  </si>
  <si>
    <t>Reg4</t>
  </si>
  <si>
    <t>Reg5</t>
  </si>
  <si>
    <t>Enter values in yellow boxes and click Calc
Confim maths by green Check box</t>
  </si>
  <si>
    <t xml:space="preserve">  </t>
  </si>
  <si>
    <t>4B3</t>
  </si>
  <si>
    <t>580005</t>
  </si>
  <si>
    <t>Register Values</t>
  </si>
  <si>
    <t>4E42</t>
  </si>
  <si>
    <t>9C803C</t>
  </si>
  <si>
    <t>80083E9</t>
  </si>
  <si>
    <t>3382E8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</si>
</sst>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8" xfId="0" applyFill="1" applyBorder="1"/>
    <xf numFmtId="11" fontId="0" fillId="3" borderId="8" xfId="0" quotePrefix="1" applyNumberFormat="1" applyFill="1" applyBorder="1"/>
    <xf numFmtId="0" fontId="0" fillId="3" borderId="8" xfId="0" quotePrefix="1" applyFill="1" applyBorder="1"/>
    <xf numFmtId="0" fontId="0" fillId="0" borderId="9" xfId="0" applyBorder="1"/>
    <xf numFmtId="0" fontId="0" fillId="3" borderId="10" xfId="0" quotePrefix="1" applyFill="1" applyBorder="1"/>
    <xf numFmtId="0" fontId="0" fillId="0" borderId="0" xfId="0" quotePrefix="1"/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1" fontId="0" fillId="3" borderId="8" xfId="0" quotePrefix="1" applyNumberFormat="1" applyFill="1" applyBorder="1" applyAlignment="1">
      <alignment horizontal="left" vertical="top"/>
    </xf>
    <xf numFmtId="0" fontId="0" fillId="3" borderId="8" xfId="0" quotePrefix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</xdr:row>
          <xdr:rowOff>9525</xdr:rowOff>
        </xdr:from>
        <xdr:to>
          <xdr:col>5</xdr:col>
          <xdr:colOff>581025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E466A-A024-4F52-8C5C-376AFB301A96}">
  <sheetPr codeName="Sheet1"/>
  <dimension ref="A1:U61"/>
  <sheetViews>
    <sheetView tabSelected="1" workbookViewId="0">
      <selection activeCell="E7" sqref="E7:F13"/>
    </sheetView>
  </sheetViews>
  <sheetFormatPr defaultRowHeight="15" x14ac:dyDescent="0.25"/>
  <cols>
    <col min="6" max="6" width="24.85546875" customWidth="1"/>
    <col min="18" max="18" width="11.7109375" bestFit="1" customWidth="1"/>
    <col min="20" max="20" width="11.140625" bestFit="1" customWidth="1"/>
  </cols>
  <sheetData>
    <row r="1" spans="1:21" x14ac:dyDescent="0.25">
      <c r="A1" t="s">
        <v>3</v>
      </c>
      <c r="B1" s="2">
        <v>1296</v>
      </c>
      <c r="C1" t="s">
        <v>0</v>
      </c>
      <c r="G1" s="14" t="s">
        <v>18</v>
      </c>
      <c r="H1" s="14"/>
      <c r="I1" s="14"/>
      <c r="J1" s="14"/>
      <c r="K1" s="14"/>
      <c r="L1" s="14"/>
    </row>
    <row r="2" spans="1:21" x14ac:dyDescent="0.25">
      <c r="A2" t="s">
        <v>4</v>
      </c>
      <c r="B2" s="3">
        <v>100</v>
      </c>
      <c r="C2" t="s">
        <v>1</v>
      </c>
      <c r="G2" s="15"/>
      <c r="H2" s="15"/>
      <c r="I2" s="15"/>
      <c r="J2" s="15"/>
      <c r="K2" s="15"/>
      <c r="L2" s="15"/>
    </row>
    <row r="3" spans="1:21" ht="15.75" thickBot="1" x14ac:dyDescent="0.3">
      <c r="A3" t="s">
        <v>2</v>
      </c>
      <c r="B3" s="4">
        <v>10</v>
      </c>
      <c r="C3" t="s">
        <v>0</v>
      </c>
      <c r="G3" s="15"/>
      <c r="H3" s="15"/>
      <c r="I3" s="15"/>
      <c r="J3" s="15"/>
      <c r="K3" s="15"/>
      <c r="L3" s="15"/>
    </row>
    <row r="4" spans="1:21" x14ac:dyDescent="0.25">
      <c r="B4" s="1"/>
    </row>
    <row r="5" spans="1:21" x14ac:dyDescent="0.25">
      <c r="A5" t="s">
        <v>5</v>
      </c>
      <c r="B5" s="1">
        <v>2</v>
      </c>
    </row>
    <row r="6" spans="1:21" ht="15.75" thickBot="1" x14ac:dyDescent="0.3">
      <c r="A6" t="s">
        <v>6</v>
      </c>
      <c r="B6" s="1">
        <v>259.2</v>
      </c>
    </row>
    <row r="7" spans="1:21" x14ac:dyDescent="0.25">
      <c r="A7" t="s">
        <v>7</v>
      </c>
      <c r="B7" s="1">
        <v>259</v>
      </c>
      <c r="E7" s="5"/>
      <c r="F7" s="6" t="s">
        <v>22</v>
      </c>
    </row>
    <row r="8" spans="1:21" x14ac:dyDescent="0.25">
      <c r="A8" t="s">
        <v>8</v>
      </c>
      <c r="B8" s="1">
        <v>100</v>
      </c>
      <c r="E8" s="7" t="s">
        <v>12</v>
      </c>
      <c r="F8" s="17" t="s">
        <v>26</v>
      </c>
    </row>
    <row r="9" spans="1:21" x14ac:dyDescent="0.25">
      <c r="A9" t="s">
        <v>9</v>
      </c>
      <c r="B9" s="1">
        <v>20</v>
      </c>
      <c r="E9" s="7" t="s">
        <v>13</v>
      </c>
      <c r="F9" s="16" t="s">
        <v>25</v>
      </c>
    </row>
    <row r="10" spans="1:21" x14ac:dyDescent="0.25">
      <c r="B10" s="1"/>
      <c r="E10" s="7" t="s">
        <v>14</v>
      </c>
      <c r="F10" s="9" t="s">
        <v>23</v>
      </c>
    </row>
    <row r="11" spans="1:21" x14ac:dyDescent="0.25">
      <c r="A11" t="s">
        <v>10</v>
      </c>
      <c r="B11" s="1">
        <v>20</v>
      </c>
      <c r="E11" s="7" t="s">
        <v>15</v>
      </c>
      <c r="F11" s="10" t="s">
        <v>20</v>
      </c>
    </row>
    <row r="12" spans="1:21" x14ac:dyDescent="0.25">
      <c r="B12" s="1"/>
      <c r="E12" s="7" t="s">
        <v>16</v>
      </c>
      <c r="F12" s="8" t="s">
        <v>24</v>
      </c>
    </row>
    <row r="13" spans="1:21" ht="15.75" thickBot="1" x14ac:dyDescent="0.3">
      <c r="A13" t="s">
        <v>8</v>
      </c>
      <c r="B13" s="1">
        <v>5</v>
      </c>
      <c r="E13" s="11" t="s">
        <v>17</v>
      </c>
      <c r="F13" s="12" t="s">
        <v>21</v>
      </c>
    </row>
    <row r="14" spans="1:21" x14ac:dyDescent="0.25">
      <c r="A14" t="s">
        <v>9</v>
      </c>
      <c r="B14" s="1">
        <v>1</v>
      </c>
      <c r="S14" s="13"/>
      <c r="U14" s="13"/>
    </row>
    <row r="15" spans="1:21" x14ac:dyDescent="0.25">
      <c r="B15" s="1"/>
      <c r="F15" s="13"/>
      <c r="S15" s="13"/>
      <c r="U15" s="13"/>
    </row>
    <row r="16" spans="1:21" x14ac:dyDescent="0.25">
      <c r="A16" t="s">
        <v>11</v>
      </c>
      <c r="B16" s="1">
        <f>IF((REFin/B5)*(B7+(B14/B13))=RFout,1,0)</f>
        <v>1</v>
      </c>
      <c r="S16" s="13"/>
      <c r="U16" s="13"/>
    </row>
    <row r="17" spans="19:21" x14ac:dyDescent="0.25">
      <c r="S17" s="13"/>
      <c r="U17" s="13"/>
    </row>
    <row r="18" spans="19:21" x14ac:dyDescent="0.25">
      <c r="S18" s="13"/>
    </row>
    <row r="61" spans="14:14" x14ac:dyDescent="0.25">
      <c r="N61" t="s">
        <v>19</v>
      </c>
    </row>
  </sheetData>
  <mergeCells count="1">
    <mergeCell ref="G1:L3"/>
  </mergeCells>
  <pageMargins left="0.7" right="0.7" top="0.75" bottom="0.75" header="0.3" footer="0.3"/>
  <pageSetup paperSize="9" orientation="portrait" horizontalDpi="90" verticalDpi="90" r:id="rId1"/>
  <ignoredErrors>
    <ignoredError sqref="F8:F10 F13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Stuff">
                <anchor moveWithCells="1" sizeWithCells="1">
                  <from>
                    <xdr:col>3</xdr:col>
                    <xdr:colOff>581025</xdr:colOff>
                    <xdr:row>1</xdr:row>
                    <xdr:rowOff>9525</xdr:rowOff>
                  </from>
                  <to>
                    <xdr:col>5</xdr:col>
                    <xdr:colOff>581025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1CC5B87-968B-4B8D-8C83-5186B36A48B3}">
            <x14:iconSet showValue="0" custom="1">
              <x14:cfvo type="percent">
                <xm:f>0</xm:f>
              </x14:cfvo>
              <x14:cfvo type="formula">
                <xm:f>0</xm:f>
              </x14:cfvo>
              <x14:cfvo type="formula">
                <xm:f>1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B18</xm:sqref>
        </x14:conditionalFormatting>
        <x14:conditionalFormatting xmlns:xm="http://schemas.microsoft.com/office/excel/2006/main">
          <x14:cfRule type="iconSet" priority="1" id="{CB8B9D2A-C0C4-4638-8051-4AB6AEC4F075}">
            <x14:iconSet showValue="0" custom="1">
              <x14:cfvo type="percent">
                <xm:f>0</xm:f>
              </x14:cfvo>
              <x14:cfvo type="formula">
                <xm:f>0</xm:f>
              </x14:cfvo>
              <x14:cfvo type="formula">
                <xm:f>1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PLL</vt:lpstr>
      <vt:lpstr>Cspacing</vt:lpstr>
      <vt:lpstr>REFin</vt:lpstr>
      <vt:lpstr>RFout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Jones</dc:creator>
  <cp:lastModifiedBy>Mark G0MGX</cp:lastModifiedBy>
  <dcterms:created xsi:type="dcterms:W3CDTF">2019-12-10T07:44:57Z</dcterms:created>
  <dcterms:modified xsi:type="dcterms:W3CDTF">2025-10-17T16:42:24Z</dcterms:modified>
</cp:coreProperties>
</file>