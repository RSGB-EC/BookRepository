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markg\Desktop\"/>
    </mc:Choice>
  </mc:AlternateContent>
  <xr:revisionPtr revIDLastSave="0" documentId="8_{33B09C9F-0737-4AFD-B89A-A0CD6D60AA7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DF5355" sheetId="1" r:id="rId1"/>
  </sheets>
  <functionGroups builtInGroupCount="19"/>
  <calcPr calcId="0"/>
  <extLst>
    <ext uri="GoogleSheetsCustomDataVersion2">
      <go:sheetsCustomData xmlns:go="http://customooxmlschemas.google.com/" r:id="rId6" roundtripDataChecksum="tIdoplVuzZ0tnan6DueL9JIHJ+VlR21t5nVzddfOmtE="/>
    </ext>
  </extLst>
</workbook>
</file>

<file path=xl/sharedStrings.xml><?xml version="1.0" encoding="utf-8"?>
<sst xmlns="http://schemas.openxmlformats.org/spreadsheetml/2006/main" count="54" uniqueCount="50">
  <si>
    <t>Target Freq</t>
  </si>
  <si>
    <t>MHz</t>
  </si>
  <si>
    <t>Ref Doubler</t>
  </si>
  <si>
    <t>No</t>
  </si>
  <si>
    <t>Fundamental</t>
  </si>
  <si>
    <t>Yes</t>
  </si>
  <si>
    <t>Ref</t>
  </si>
  <si>
    <t>Ref Div2</t>
  </si>
  <si>
    <t>yes</t>
  </si>
  <si>
    <t>Divided</t>
  </si>
  <si>
    <t>Chan Space</t>
  </si>
  <si>
    <t>Feedback</t>
  </si>
  <si>
    <t>OutDiv</t>
  </si>
  <si>
    <t>Reg0</t>
  </si>
  <si>
    <t>Enter the Target Frequency, Reference clock multiplier/Dividor selections and click the calc button.
N will turn red if outside recommended range; change ref doubler or clock divisor to correct.
Mod2 will turn red if over 16383</t>
  </si>
  <si>
    <t>PFD</t>
  </si>
  <si>
    <t>Reg1</t>
  </si>
  <si>
    <t>N</t>
  </si>
  <si>
    <t>Reg2</t>
  </si>
  <si>
    <t>N_Int</t>
  </si>
  <si>
    <t>Reg3</t>
  </si>
  <si>
    <t>3</t>
  </si>
  <si>
    <t>Frac1</t>
  </si>
  <si>
    <t>Reg4</t>
  </si>
  <si>
    <t>3000A784</t>
  </si>
  <si>
    <t>Frac1 Int</t>
  </si>
  <si>
    <t>Reg5</t>
  </si>
  <si>
    <t>800025</t>
  </si>
  <si>
    <t>Frac2</t>
  </si>
  <si>
    <t>Reg6</t>
  </si>
  <si>
    <t>15220476</t>
  </si>
  <si>
    <t>Frac2 Int</t>
  </si>
  <si>
    <t>Reg7</t>
  </si>
  <si>
    <t>120000E7</t>
  </si>
  <si>
    <t>Mod2</t>
  </si>
  <si>
    <t>Reg8</t>
  </si>
  <si>
    <t>102D0428</t>
  </si>
  <si>
    <t>GCD</t>
  </si>
  <si>
    <t>Reg9</t>
  </si>
  <si>
    <t>302FCC9</t>
  </si>
  <si>
    <t>ADCClkDiv</t>
  </si>
  <si>
    <t>Reg10</t>
  </si>
  <si>
    <t>Reg11</t>
  </si>
  <si>
    <t>61300B</t>
  </si>
  <si>
    <t>Reg12</t>
  </si>
  <si>
    <t>1041C</t>
  </si>
  <si>
    <t>2002C0</t>
  </si>
  <si>
    <t>1</t>
  </si>
  <si>
    <t>1F42</t>
  </si>
  <si>
    <t>C03EBA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</si>
</sst>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scheme val="minor"/>
    </font>
    <font>
      <sz val="11"/>
      <color theme="1"/>
      <name val="Calibri"/>
      <scheme val="minor"/>
    </font>
    <font>
      <sz val="1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E2EFD9"/>
        <bgColor rgb="FFE2EFD9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1" fontId="0" fillId="3" borderId="1" xfId="0" quotePrefix="1" applyNumberFormat="1" applyFill="1" applyBorder="1" applyAlignment="1">
      <alignment horizontal="left"/>
    </xf>
    <xf numFmtId="0" fontId="0" fillId="0" borderId="2" xfId="0" applyBorder="1" applyAlignment="1">
      <alignment horizontal="center" vertical="center" wrapText="1"/>
    </xf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0" fillId="0" borderId="0" xfId="0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</cellXfs>
  <cellStyles count="1">
    <cellStyle name="Normal" xfId="0" builtinId="0"/>
  </cellStyles>
  <dxfs count="3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1</xdr:row>
          <xdr:rowOff>28575</xdr:rowOff>
        </xdr:from>
        <xdr:to>
          <xdr:col>11</xdr:col>
          <xdr:colOff>85725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F1000"/>
  <sheetViews>
    <sheetView tabSelected="1" workbookViewId="0">
      <selection activeCell="N12" sqref="N12"/>
    </sheetView>
  </sheetViews>
  <sheetFormatPr defaultColWidth="14.42578125" defaultRowHeight="15" customHeight="1" x14ac:dyDescent="0.25"/>
  <cols>
    <col min="1" max="1" width="11" bestFit="1" customWidth="1"/>
    <col min="2" max="2" width="15.85546875" customWidth="1"/>
    <col min="3" max="4" width="8.7109375" customWidth="1"/>
    <col min="5" max="5" width="11.5703125" bestFit="1" customWidth="1"/>
    <col min="6" max="6" width="14.5703125" customWidth="1"/>
    <col min="7" max="24" width="8.7109375" customWidth="1"/>
    <col min="25" max="26" width="8.7109375" hidden="1" customWidth="1"/>
    <col min="27" max="58" width="8.7109375" customWidth="1"/>
  </cols>
  <sheetData>
    <row r="1" spans="1:58" x14ac:dyDescent="0.25">
      <c r="A1" s="1" t="s">
        <v>0</v>
      </c>
      <c r="B1" s="2">
        <v>2200</v>
      </c>
      <c r="C1" s="1" t="s">
        <v>1</v>
      </c>
      <c r="E1" s="1" t="s">
        <v>2</v>
      </c>
      <c r="F1" s="2" t="s">
        <v>3</v>
      </c>
      <c r="Y1" s="1" t="s">
        <v>4</v>
      </c>
      <c r="Z1" s="1" t="s">
        <v>5</v>
      </c>
    </row>
    <row r="2" spans="1:58" x14ac:dyDescent="0.25">
      <c r="A2" s="1" t="s">
        <v>6</v>
      </c>
      <c r="B2" s="2">
        <v>100</v>
      </c>
      <c r="C2" s="1" t="s">
        <v>1</v>
      </c>
      <c r="E2" s="1" t="s">
        <v>7</v>
      </c>
      <c r="F2" s="2" t="s">
        <v>8</v>
      </c>
      <c r="Y2" s="1" t="s">
        <v>9</v>
      </c>
      <c r="Z2" s="1" t="s">
        <v>3</v>
      </c>
    </row>
    <row r="3" spans="1:58" x14ac:dyDescent="0.25">
      <c r="A3" s="1" t="s">
        <v>10</v>
      </c>
      <c r="B3" s="1">
        <v>0.2</v>
      </c>
      <c r="C3" s="1" t="s">
        <v>1</v>
      </c>
      <c r="E3" s="1" t="s">
        <v>11</v>
      </c>
      <c r="F3" s="1" t="s">
        <v>4</v>
      </c>
    </row>
    <row r="5" spans="1:58" ht="14.25" customHeight="1" x14ac:dyDescent="0.25">
      <c r="A5" s="1" t="s">
        <v>12</v>
      </c>
      <c r="B5" s="1">
        <v>2</v>
      </c>
      <c r="E5" s="3" t="s">
        <v>13</v>
      </c>
      <c r="F5" s="4" t="s">
        <v>46</v>
      </c>
      <c r="I5" s="5" t="s">
        <v>14</v>
      </c>
      <c r="J5" s="6"/>
      <c r="K5" s="6"/>
      <c r="L5" s="6"/>
      <c r="M5" s="7"/>
      <c r="BF5" s="1">
        <v>310</v>
      </c>
    </row>
    <row r="6" spans="1:58" x14ac:dyDescent="0.25">
      <c r="A6" s="1" t="s">
        <v>15</v>
      </c>
      <c r="B6" s="1">
        <v>100</v>
      </c>
      <c r="E6" s="3" t="s">
        <v>16</v>
      </c>
      <c r="F6" s="4" t="s">
        <v>47</v>
      </c>
      <c r="I6" s="8"/>
      <c r="J6" s="9"/>
      <c r="K6" s="9"/>
      <c r="L6" s="9"/>
      <c r="M6" s="10"/>
    </row>
    <row r="7" spans="1:58" x14ac:dyDescent="0.25">
      <c r="A7" s="1" t="s">
        <v>17</v>
      </c>
      <c r="B7" s="1">
        <v>44</v>
      </c>
      <c r="E7" s="3" t="s">
        <v>18</v>
      </c>
      <c r="F7" s="4" t="s">
        <v>48</v>
      </c>
      <c r="I7" s="8"/>
      <c r="J7" s="9"/>
      <c r="K7" s="9"/>
      <c r="L7" s="9"/>
      <c r="M7" s="10"/>
    </row>
    <row r="8" spans="1:58" x14ac:dyDescent="0.25">
      <c r="A8" s="1" t="s">
        <v>19</v>
      </c>
      <c r="B8" s="1">
        <v>44</v>
      </c>
      <c r="E8" s="3" t="s">
        <v>20</v>
      </c>
      <c r="F8" s="4" t="s">
        <v>21</v>
      </c>
      <c r="I8" s="8"/>
      <c r="J8" s="9"/>
      <c r="K8" s="9"/>
      <c r="L8" s="9"/>
      <c r="M8" s="10"/>
    </row>
    <row r="9" spans="1:58" x14ac:dyDescent="0.25">
      <c r="A9" s="1" t="s">
        <v>22</v>
      </c>
      <c r="B9" s="1">
        <v>0</v>
      </c>
      <c r="E9" s="3" t="s">
        <v>23</v>
      </c>
      <c r="F9" s="4" t="s">
        <v>24</v>
      </c>
      <c r="I9" s="8"/>
      <c r="J9" s="9"/>
      <c r="K9" s="9"/>
      <c r="L9" s="9"/>
      <c r="M9" s="10"/>
    </row>
    <row r="10" spans="1:58" x14ac:dyDescent="0.25">
      <c r="A10" s="1" t="s">
        <v>25</v>
      </c>
      <c r="B10" s="1">
        <v>0</v>
      </c>
      <c r="E10" s="3" t="s">
        <v>26</v>
      </c>
      <c r="F10" s="4" t="s">
        <v>27</v>
      </c>
      <c r="I10" s="8"/>
      <c r="J10" s="9"/>
      <c r="K10" s="9"/>
      <c r="L10" s="9"/>
      <c r="M10" s="10"/>
    </row>
    <row r="11" spans="1:58" x14ac:dyDescent="0.25">
      <c r="A11" s="1" t="s">
        <v>28</v>
      </c>
      <c r="B11" s="1">
        <v>0</v>
      </c>
      <c r="E11" s="3" t="s">
        <v>29</v>
      </c>
      <c r="F11" s="4" t="s">
        <v>30</v>
      </c>
      <c r="I11" s="8"/>
      <c r="J11" s="9"/>
      <c r="K11" s="9"/>
      <c r="L11" s="9"/>
      <c r="M11" s="10"/>
    </row>
    <row r="12" spans="1:58" x14ac:dyDescent="0.25">
      <c r="A12" s="1" t="s">
        <v>31</v>
      </c>
      <c r="B12" s="1">
        <v>0</v>
      </c>
      <c r="E12" s="3" t="s">
        <v>32</v>
      </c>
      <c r="F12" s="4" t="s">
        <v>33</v>
      </c>
      <c r="I12" s="8"/>
      <c r="J12" s="9"/>
      <c r="K12" s="9"/>
      <c r="L12" s="9"/>
      <c r="M12" s="10"/>
    </row>
    <row r="13" spans="1:58" x14ac:dyDescent="0.25">
      <c r="A13" s="1" t="s">
        <v>34</v>
      </c>
      <c r="B13" s="1">
        <v>500</v>
      </c>
      <c r="E13" s="3" t="s">
        <v>35</v>
      </c>
      <c r="F13" s="4" t="s">
        <v>36</v>
      </c>
      <c r="I13" s="8"/>
      <c r="J13" s="9"/>
      <c r="K13" s="9"/>
      <c r="L13" s="9"/>
      <c r="M13" s="10"/>
    </row>
    <row r="14" spans="1:58" x14ac:dyDescent="0.25">
      <c r="A14" s="1" t="s">
        <v>37</v>
      </c>
      <c r="B14" s="1">
        <v>200</v>
      </c>
      <c r="E14" s="3" t="s">
        <v>38</v>
      </c>
      <c r="F14" s="4" t="s">
        <v>39</v>
      </c>
      <c r="I14" s="11"/>
      <c r="J14" s="12"/>
      <c r="K14" s="12"/>
      <c r="L14" s="12"/>
      <c r="M14" s="13"/>
    </row>
    <row r="15" spans="1:58" x14ac:dyDescent="0.25">
      <c r="A15" s="1" t="s">
        <v>40</v>
      </c>
      <c r="B15" s="1">
        <v>250</v>
      </c>
      <c r="E15" s="3" t="s">
        <v>41</v>
      </c>
      <c r="F15" s="4" t="s">
        <v>49</v>
      </c>
    </row>
    <row r="16" spans="1:58" x14ac:dyDescent="0.25">
      <c r="E16" s="3" t="s">
        <v>42</v>
      </c>
      <c r="F16" s="4" t="s">
        <v>43</v>
      </c>
    </row>
    <row r="17" spans="5:6" x14ac:dyDescent="0.25">
      <c r="E17" s="3" t="s">
        <v>44</v>
      </c>
      <c r="F17" s="4" t="s">
        <v>45</v>
      </c>
    </row>
    <row r="21" spans="5:6" ht="15.75" customHeight="1" x14ac:dyDescent="0.25"/>
    <row r="22" spans="5:6" ht="15.75" customHeight="1" x14ac:dyDescent="0.25"/>
    <row r="23" spans="5:6" ht="15.75" customHeight="1" x14ac:dyDescent="0.25"/>
    <row r="24" spans="5:6" ht="15.75" customHeight="1" x14ac:dyDescent="0.25"/>
    <row r="25" spans="5:6" ht="15.75" customHeight="1" x14ac:dyDescent="0.25"/>
    <row r="26" spans="5:6" ht="15.75" customHeight="1" x14ac:dyDescent="0.25"/>
    <row r="27" spans="5:6" ht="15.75" customHeight="1" x14ac:dyDescent="0.25"/>
    <row r="28" spans="5:6" ht="15.75" customHeight="1" x14ac:dyDescent="0.25"/>
    <row r="29" spans="5:6" ht="15.75" customHeight="1" x14ac:dyDescent="0.25"/>
    <row r="30" spans="5:6" ht="15.75" customHeight="1" x14ac:dyDescent="0.25"/>
    <row r="31" spans="5:6" ht="15.75" customHeight="1" x14ac:dyDescent="0.25"/>
    <row r="32" spans="5: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">
    <mergeCell ref="I5:M14"/>
  </mergeCells>
  <conditionalFormatting sqref="B7">
    <cfRule type="cellIs" dxfId="2" priority="1" operator="lessThan">
      <formula>23</formula>
    </cfRule>
  </conditionalFormatting>
  <conditionalFormatting sqref="B8">
    <cfRule type="cellIs" dxfId="1" priority="2" operator="lessThan">
      <formula>23</formula>
    </cfRule>
  </conditionalFormatting>
  <conditionalFormatting sqref="B13">
    <cfRule type="cellIs" dxfId="0" priority="3" operator="greaterThan">
      <formula>16383</formula>
    </cfRule>
  </conditionalFormatting>
  <dataValidations count="2">
    <dataValidation type="list" allowBlank="1" showErrorMessage="1" sqref="F3" xr:uid="{00000000-0002-0000-0000-000000000000}">
      <formula1>$Y$1:$Y$2</formula1>
    </dataValidation>
    <dataValidation type="list" allowBlank="1" showErrorMessage="1" sqref="F1:F2" xr:uid="{00000000-0002-0000-0000-000001000000}">
      <formula1>$Z$1:$Z$2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oStuff">
                <anchor moveWithCells="1" sizeWithCells="1">
                  <from>
                    <xdr:col>8</xdr:col>
                    <xdr:colOff>314325</xdr:colOff>
                    <xdr:row>1</xdr:row>
                    <xdr:rowOff>28575</xdr:rowOff>
                  </from>
                  <to>
                    <xdr:col>11</xdr:col>
                    <xdr:colOff>85725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ADF5355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Jones</dc:creator>
  <cp:lastModifiedBy>Mark G0MGX</cp:lastModifiedBy>
  <dcterms:created xsi:type="dcterms:W3CDTF">2020-01-06T08:03:13Z</dcterms:created>
  <dcterms:modified xsi:type="dcterms:W3CDTF">2026-03-04T16:11:01Z</dcterms:modified>
</cp:coreProperties>
</file>